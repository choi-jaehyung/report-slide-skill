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보고정보" sheetId="1" state="visible" r:id="rId1"/>
    <sheet xmlns:r="http://schemas.openxmlformats.org/officeDocument/2006/relationships" name="01_Executive Summary" sheetId="2" state="visible" r:id="rId2"/>
    <sheet xmlns:r="http://schemas.openxmlformats.org/officeDocument/2006/relationships" name="02_Income Statement" sheetId="3" state="visible" r:id="rId3"/>
    <sheet xmlns:r="http://schemas.openxmlformats.org/officeDocument/2006/relationships" name="03_KPI by Product" sheetId="4" state="visible" r:id="rId4"/>
    <sheet xmlns:r="http://schemas.openxmlformats.org/officeDocument/2006/relationships" name="04_PL by Product" sheetId="5" state="visible" r:id="rId5"/>
    <sheet xmlns:r="http://schemas.openxmlformats.org/officeDocument/2006/relationships" name="04b_Unifi KPI" sheetId="6" state="visible" r:id="rId6"/>
    <sheet xmlns:r="http://schemas.openxmlformats.org/officeDocument/2006/relationships" name="05_NEXT Market" sheetId="7" state="visible" r:id="rId7"/>
    <sheet xmlns:r="http://schemas.openxmlformats.org/officeDocument/2006/relationships" name="06_Personnel" sheetId="8" state="visible" r:id="rId8"/>
    <sheet xmlns:r="http://schemas.openxmlformats.org/officeDocument/2006/relationships" name="07_Marketing" sheetId="9" state="visible" r:id="rId9"/>
    <sheet xmlns:r="http://schemas.openxmlformats.org/officeDocument/2006/relationships" name="08_Balance Sheet" sheetId="10" state="visible" r:id="rId10"/>
    <sheet xmlns:r="http://schemas.openxmlformats.org/officeDocument/2006/relationships" name="09_Key Elements BS" sheetId="11" state="visible" r:id="rId11"/>
    <sheet xmlns:r="http://schemas.openxmlformats.org/officeDocument/2006/relationships" name="10_Cash Flow" sheetId="12" state="visible" r:id="rId12"/>
    <sheet xmlns:r="http://schemas.openxmlformats.org/officeDocument/2006/relationships" name="11_Cash&amp;Crypto Proj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,,;-#,##0,,;-"/>
    <numFmt numFmtId="165" formatCode="#,##0;-#,##0;-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9"/>
    </font>
    <font>
      <b val="1"/>
      <color rgb="00FFFFFF"/>
    </font>
    <font>
      <b val="1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3">
    <border>
      <left/>
      <right/>
      <top/>
      <bottom/>
      <diagonal/>
    </border>
    <border>
      <left style="thin">
        <color rgb="00E6E9EF"/>
      </left>
      <right style="thin">
        <color rgb="00E6E9EF"/>
      </right>
      <top style="thin">
        <color rgb="00E6E9EF"/>
      </top>
      <bottom style="thin">
        <color rgb="00E6E9E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24" customHeight="1">
      <c r="A1" s="10" t="inlineStr">
        <is>
          <t>보고 기본정보</t>
        </is>
      </c>
    </row>
    <row r="2">
      <c r="A2" s="11" t="inlineStr">
        <is>
          <t>※ 보고 기준월만 입력하세요. 표지 영문월·NEXT Market 당월(YYYY.MM)·시계열 날짜 등은 스킬이 이 값에서 자동 생성합니다.</t>
        </is>
      </c>
    </row>
    <row r="3">
      <c r="A3" s="3" t="inlineStr">
        <is>
          <t>항목</t>
        </is>
      </c>
      <c r="B3" s="3" t="inlineStr">
        <is>
          <t>값</t>
        </is>
      </c>
    </row>
    <row r="4">
      <c r="A4" s="4" t="inlineStr">
        <is>
          <t>보고 기준월 (YYYY-MM)</t>
        </is>
      </c>
      <c r="B4" s="6" t="inlineStr">
        <is>
          <t>2026-06</t>
        </is>
      </c>
    </row>
    <row r="5">
      <c r="A5" s="12" t="n"/>
      <c r="B5" s="13" t="n"/>
    </row>
    <row r="6">
      <c r="A6" s="11" t="inlineStr">
        <is>
          <t>※ 표지 이미지 교체 시 assets/cover.jpeg 대체(보고월 텍스트는 스킬 오버레이).</t>
        </is>
      </c>
    </row>
    <row r="7">
      <c r="A7" s="11" t="inlineStr">
        <is>
          <t>※ 기본 단위: 백만원(엑셀 표시). 슬라이드는 항목별 단위로 변환.</t>
        </is>
      </c>
    </row>
    <row r="8">
      <c r="A8" s="11" t="inlineStr">
        <is>
          <t>※ 제품 순서: Unifi·NEXT Market·Hyze·Game·Alive·MOLTS·AI Friends·Xenesis·etc</t>
        </is>
      </c>
    </row>
    <row r="9">
      <c r="A9" s="12" t="n"/>
      <c r="B9" s="14" t="n"/>
    </row>
    <row r="10">
      <c r="A10" s="11" t="n"/>
      <c r="B10" s="15" t="n"/>
    </row>
  </sheetData>
  <mergeCells count="5">
    <mergeCell ref="A2:B2"/>
    <mergeCell ref="A7:B7"/>
    <mergeCell ref="A1:B1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42" customWidth="1" min="5" max="5"/>
  </cols>
  <sheetData>
    <row r="1" ht="24" customHeight="1">
      <c r="A1" s="1" t="inlineStr">
        <is>
          <t>Executive Summary</t>
        </is>
      </c>
    </row>
    <row r="2">
      <c r="A2" s="2" t="inlineStr">
        <is>
          <t>값은 원단위 입력→백만원 표시. 슬라이드는 단위(백만원/억원/명)로 변환. 비교=계획비/전월비.</t>
        </is>
      </c>
    </row>
    <row r="3">
      <c r="A3" s="3" t="inlineStr">
        <is>
          <t>구획</t>
        </is>
      </c>
      <c r="B3" s="3" t="inlineStr">
        <is>
          <t>지표</t>
        </is>
      </c>
      <c r="C3" s="3" t="inlineStr">
        <is>
          <t>값</t>
        </is>
      </c>
      <c r="D3" s="3" t="inlineStr">
        <is>
          <t>단위</t>
        </is>
      </c>
      <c r="E3" s="3" t="inlineStr">
        <is>
          <t>비교(라벨·값)</t>
        </is>
      </c>
    </row>
    <row r="4">
      <c r="A4" s="6" t="inlineStr">
        <is>
          <t>Finance</t>
        </is>
      </c>
      <c r="B4" s="5" t="inlineStr">
        <is>
          <t>Revenue</t>
        </is>
      </c>
      <c r="C4" s="16" t="n">
        <v>1000000000</v>
      </c>
      <c r="D4" s="5" t="inlineStr">
        <is>
          <t>백만원</t>
        </is>
      </c>
      <c r="E4" s="5" t="inlineStr">
        <is>
          <t>계획비 60%</t>
        </is>
      </c>
    </row>
    <row r="5">
      <c r="A5" s="6" t="inlineStr">
        <is>
          <t>Finance</t>
        </is>
      </c>
      <c r="B5" s="5" t="inlineStr">
        <is>
          <t>Profit</t>
        </is>
      </c>
      <c r="C5" s="16" t="n">
        <v>-5160000000</v>
      </c>
      <c r="D5" s="5" t="inlineStr">
        <is>
          <t>백만원</t>
        </is>
      </c>
      <c r="E5" s="5" t="inlineStr">
        <is>
          <t>계획비 100%</t>
        </is>
      </c>
    </row>
    <row r="6">
      <c r="A6" s="6" t="inlineStr">
        <is>
          <t>Finance</t>
        </is>
      </c>
      <c r="B6" s="5" t="inlineStr">
        <is>
          <t>Cash &amp; Crypto</t>
        </is>
      </c>
      <c r="C6" s="16" t="n">
        <v>50000000000</v>
      </c>
      <c r="D6" s="5" t="inlineStr">
        <is>
          <t>백만원</t>
        </is>
      </c>
      <c r="E6" s="5" t="inlineStr">
        <is>
          <t>전월비 -5%</t>
        </is>
      </c>
    </row>
    <row r="7">
      <c r="A7" s="6" t="inlineStr">
        <is>
          <t>Business</t>
        </is>
      </c>
      <c r="B7" s="5" t="inlineStr">
        <is>
          <t>Unifi AUM</t>
        </is>
      </c>
      <c r="C7" s="16" t="n">
        <v>50000000000</v>
      </c>
      <c r="D7" s="5" t="inlineStr">
        <is>
          <t>억원</t>
        </is>
      </c>
      <c r="E7" s="5" t="inlineStr">
        <is>
          <t>계획비 70%</t>
        </is>
      </c>
    </row>
    <row r="8">
      <c r="A8" s="6" t="inlineStr">
        <is>
          <t>Business</t>
        </is>
      </c>
      <c r="B8" s="5" t="inlineStr">
        <is>
          <t>GMV</t>
        </is>
      </c>
      <c r="C8" s="16" t="n">
        <v>3000000000</v>
      </c>
      <c r="D8" s="5" t="inlineStr">
        <is>
          <t>백만원</t>
        </is>
      </c>
      <c r="E8" s="5" t="inlineStr">
        <is>
          <t>계획비 80%</t>
        </is>
      </c>
    </row>
    <row r="9">
      <c r="A9" s="6" t="inlineStr">
        <is>
          <t>Business</t>
        </is>
      </c>
      <c r="B9" s="5" t="inlineStr">
        <is>
          <t>MPU</t>
        </is>
      </c>
      <c r="C9" s="17" t="n">
        <v>30000</v>
      </c>
      <c r="D9" s="5" t="inlineStr">
        <is>
          <t>명</t>
        </is>
      </c>
      <c r="E9" s="5" t="inlineStr">
        <is>
          <t>계획비 75%</t>
        </is>
      </c>
    </row>
    <row r="10"/>
    <row r="11">
      <c r="A11" s="7" t="inlineStr">
        <is>
          <t>Key Insight (한 줄에 하나)</t>
        </is>
      </c>
    </row>
    <row r="12">
      <c r="A12" s="8" t="inlineStr">
        <is>
          <t>• Unifi: 예치 이자수익이 계획을 상회하여 목표 대비 조기 달성</t>
        </is>
      </c>
    </row>
    <row r="13">
      <c r="A13" s="8" t="inlineStr">
        <is>
          <t>• 마케팅 집행 시점 조정으로 매출은 계획 하회했으나 영업적자 규모는 계획 대비 축소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Income Statement (계획 vs 실적)</t>
        </is>
      </c>
    </row>
    <row r="2">
      <c r="A2" s="2" t="inlineStr">
        <is>
          <t>6개월 시계열 Plan/Actual. 다이버징·그룹막대용.</t>
        </is>
      </c>
    </row>
    <row r="3">
      <c r="A3" s="3" t="inlineStr"/>
      <c r="B3" s="3" t="inlineStr">
        <is>
          <t>26.01</t>
        </is>
      </c>
      <c r="C3" s="3" t="inlineStr">
        <is>
          <t>26.02</t>
        </is>
      </c>
      <c r="D3" s="3" t="inlineStr">
        <is>
          <t>26.03</t>
        </is>
      </c>
      <c r="E3" s="3" t="inlineStr">
        <is>
          <t>26.04</t>
        </is>
      </c>
      <c r="F3" s="3" t="inlineStr">
        <is>
          <t>26.05</t>
        </is>
      </c>
      <c r="G3" s="3" t="inlineStr">
        <is>
          <t>26.06(F)</t>
        </is>
      </c>
    </row>
    <row r="4">
      <c r="A4" s="4" t="inlineStr">
        <is>
          <t>Revenue Plan</t>
        </is>
      </c>
      <c r="B4" s="16" t="n">
        <v>1200000000</v>
      </c>
      <c r="C4" s="16" t="n">
        <v>1400000000</v>
      </c>
      <c r="D4" s="16" t="n">
        <v>1600000000</v>
      </c>
      <c r="E4" s="16" t="n">
        <v>1000000000</v>
      </c>
      <c r="F4" s="16" t="n">
        <v>1300000000</v>
      </c>
      <c r="G4" s="16" t="n">
        <v>1500000000</v>
      </c>
    </row>
    <row r="5">
      <c r="A5" s="4" t="inlineStr">
        <is>
          <t>Revenue Actual</t>
        </is>
      </c>
      <c r="B5" s="16" t="n">
        <v>1100000000</v>
      </c>
      <c r="C5" s="16" t="n">
        <v>1300000000</v>
      </c>
      <c r="D5" s="16" t="n">
        <v>1500000000</v>
      </c>
      <c r="E5" s="16" t="n">
        <v>1050000000</v>
      </c>
      <c r="F5" s="16" t="n">
        <v>1200000000</v>
      </c>
      <c r="G5" s="16" t="n">
        <v>1000000000</v>
      </c>
    </row>
    <row r="6">
      <c r="A6" s="4" t="inlineStr">
        <is>
          <t>Profit Plan</t>
        </is>
      </c>
      <c r="B6" s="16" t="n">
        <v>-3500000000</v>
      </c>
      <c r="C6" s="16" t="n">
        <v>-3000000000</v>
      </c>
      <c r="D6" s="16" t="n">
        <v>-2800000000</v>
      </c>
      <c r="E6" s="16" t="n">
        <v>-3200000000</v>
      </c>
      <c r="F6" s="16" t="n">
        <v>-3600000000</v>
      </c>
      <c r="G6" s="16" t="n">
        <v>-3400000000</v>
      </c>
    </row>
    <row r="7">
      <c r="A7" s="4" t="inlineStr">
        <is>
          <t>Profit Actual</t>
        </is>
      </c>
      <c r="B7" s="16" t="n">
        <v>-3100000000</v>
      </c>
      <c r="C7" s="16" t="n">
        <v>-2900000000</v>
      </c>
      <c r="D7" s="16" t="n">
        <v>-2600000000</v>
      </c>
      <c r="E7" s="16" t="n">
        <v>-3300000000</v>
      </c>
      <c r="F7" s="16" t="n">
        <v>-3000000000</v>
      </c>
      <c r="G7" s="16" t="n">
        <v>-5160000000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KPI by Product</t>
        </is>
      </c>
    </row>
    <row r="2">
      <c r="A2" s="2" t="inlineStr">
        <is>
          <t>% of Plan(게이지) MPU·Revenue. 제품 표. Unifi AUM 시작/종료.</t>
        </is>
      </c>
    </row>
    <row r="3">
      <c r="A3" s="7" t="inlineStr">
        <is>
          <t>% of Plan</t>
        </is>
      </c>
    </row>
    <row r="4">
      <c r="A4" s="6" t="inlineStr">
        <is>
          <t>MPU</t>
        </is>
      </c>
      <c r="B4" s="18" t="n">
        <v>40</v>
      </c>
      <c r="C4" s="5" t="inlineStr">
        <is>
          <t>%</t>
        </is>
      </c>
    </row>
    <row r="5">
      <c r="A5" s="6" t="inlineStr">
        <is>
          <t>Revenue</t>
        </is>
      </c>
      <c r="B5" s="18" t="n">
        <v>60</v>
      </c>
      <c r="C5" s="5" t="inlineStr">
        <is>
          <t>%</t>
        </is>
      </c>
    </row>
    <row r="7">
      <c r="A7" s="3" t="inlineStr">
        <is>
          <t>Product</t>
        </is>
      </c>
      <c r="B7" s="3" t="inlineStr">
        <is>
          <t>GMV</t>
        </is>
      </c>
      <c r="C7" s="3" t="inlineStr">
        <is>
          <t>MPU</t>
        </is>
      </c>
      <c r="D7" s="3" t="inlineStr">
        <is>
          <t>Revenue</t>
        </is>
      </c>
      <c r="E7" s="3" t="inlineStr">
        <is>
          <t>Profit</t>
        </is>
      </c>
    </row>
    <row r="8">
      <c r="A8" s="4" t="inlineStr">
        <is>
          <t>Total</t>
        </is>
      </c>
      <c r="B8" s="16" t="n">
        <v>3600000000</v>
      </c>
      <c r="C8" s="17" t="n">
        <v>49505</v>
      </c>
      <c r="D8" s="16" t="n">
        <v>1000000000</v>
      </c>
      <c r="E8" s="16" t="n">
        <v>-5160000000</v>
      </c>
    </row>
    <row r="9">
      <c r="A9" s="4" t="inlineStr">
        <is>
          <t>Unifi</t>
        </is>
      </c>
      <c r="B9" s="16" t="n">
        <v>200000000</v>
      </c>
      <c r="C9" s="17" t="n">
        <v>24000</v>
      </c>
      <c r="D9" s="16" t="n">
        <v>20000000</v>
      </c>
      <c r="E9" s="16" t="n">
        <v>-2000000000</v>
      </c>
    </row>
    <row r="10">
      <c r="A10" s="4" t="inlineStr">
        <is>
          <t>NEXT Market</t>
        </is>
      </c>
      <c r="B10" s="16" t="n">
        <v>2600000000</v>
      </c>
      <c r="C10" s="17" t="n">
        <v>15000</v>
      </c>
      <c r="D10" s="16" t="n">
        <v>500000000</v>
      </c>
      <c r="E10" s="16" t="n">
        <v>-330000000</v>
      </c>
    </row>
    <row r="11">
      <c r="A11" s="4" t="inlineStr">
        <is>
          <t>Hyze</t>
        </is>
      </c>
      <c r="B11" s="16" t="n">
        <v>40000000</v>
      </c>
      <c r="C11" s="17" t="n">
        <v>500</v>
      </c>
      <c r="D11" s="16" t="n">
        <v>40000000</v>
      </c>
      <c r="E11" s="16" t="n">
        <v>-490000000</v>
      </c>
    </row>
    <row r="12">
      <c r="A12" s="4" t="inlineStr">
        <is>
          <t>Game</t>
        </is>
      </c>
      <c r="B12" s="16" t="n">
        <v>700000000</v>
      </c>
      <c r="C12" s="17" t="n">
        <v>10000</v>
      </c>
      <c r="D12" s="16" t="n">
        <v>300000000</v>
      </c>
      <c r="E12" s="16" t="n">
        <v>-1060000000</v>
      </c>
    </row>
    <row r="13">
      <c r="A13" s="4" t="inlineStr">
        <is>
          <t>Alive</t>
        </is>
      </c>
      <c r="B13" s="16" t="inlineStr">
        <is>
          <t>-</t>
        </is>
      </c>
      <c r="C13" s="17" t="inlineStr">
        <is>
          <t>-</t>
        </is>
      </c>
      <c r="D13" s="16" t="inlineStr">
        <is>
          <t>-</t>
        </is>
      </c>
      <c r="E13" s="16" t="n">
        <v>-220000000</v>
      </c>
    </row>
    <row r="14">
      <c r="A14" s="4" t="inlineStr">
        <is>
          <t>MOLTS</t>
        </is>
      </c>
      <c r="B14" s="16" t="n">
        <v>60000000</v>
      </c>
      <c r="C14" s="17" t="n">
        <v>5</v>
      </c>
      <c r="D14" s="16" t="n">
        <v>10000000</v>
      </c>
      <c r="E14" s="16" t="n">
        <v>-390000000</v>
      </c>
    </row>
    <row r="17">
      <c r="A17" s="9" t="inlineStr">
        <is>
          <t>※ Unifi AUM 추이는 별도 파일(Unifi_AUM_일자별)에서 관리. KPI 페이지엔 AI Friends 미표기.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PL by Product</t>
        </is>
      </c>
    </row>
    <row r="2">
      <c r="A2" s="2" t="inlineStr">
        <is>
          <t>행=손익항목, 열=제품. Total 열 자동 강조.</t>
        </is>
      </c>
    </row>
    <row r="3">
      <c r="A3" s="3" t="inlineStr">
        <is>
          <t>구분</t>
        </is>
      </c>
      <c r="B3" s="3" t="inlineStr">
        <is>
          <t>Unifi</t>
        </is>
      </c>
      <c r="C3" s="3" t="inlineStr">
        <is>
          <t>NEXT Market</t>
        </is>
      </c>
      <c r="D3" s="3" t="inlineStr">
        <is>
          <t>AI Friends</t>
        </is>
      </c>
      <c r="E3" s="3" t="inlineStr">
        <is>
          <t>Hyze</t>
        </is>
      </c>
      <c r="F3" s="3" t="inlineStr">
        <is>
          <t>Game</t>
        </is>
      </c>
      <c r="G3" s="3" t="inlineStr">
        <is>
          <t>Alive</t>
        </is>
      </c>
      <c r="H3" s="3" t="inlineStr">
        <is>
          <t>MOLTS</t>
        </is>
      </c>
      <c r="I3" s="3" t="inlineStr">
        <is>
          <t>Xenesis</t>
        </is>
      </c>
      <c r="J3" s="3" t="inlineStr">
        <is>
          <t>etc</t>
        </is>
      </c>
      <c r="K3" s="3" t="inlineStr">
        <is>
          <t>Total</t>
        </is>
      </c>
    </row>
    <row r="4">
      <c r="A4" s="4" t="inlineStr">
        <is>
          <t>Revenue</t>
        </is>
      </c>
      <c r="B4" s="16" t="n">
        <v>20000000</v>
      </c>
      <c r="C4" s="16" t="n">
        <v>500000000</v>
      </c>
      <c r="D4" s="16" t="n">
        <v>50000000</v>
      </c>
      <c r="E4" s="16" t="n">
        <v>40000000</v>
      </c>
      <c r="F4" s="16" t="n">
        <v>300000000</v>
      </c>
      <c r="G4" s="16" t="inlineStr">
        <is>
          <t>-</t>
        </is>
      </c>
      <c r="H4" s="16" t="n">
        <v>10000000</v>
      </c>
      <c r="I4" s="16" t="n">
        <v>80000000</v>
      </c>
      <c r="J4" s="16" t="inlineStr">
        <is>
          <t>-</t>
        </is>
      </c>
      <c r="K4" s="16" t="n">
        <v>1000000000</v>
      </c>
    </row>
    <row r="5">
      <c r="A5" s="4" t="inlineStr">
        <is>
          <t>Expenses</t>
        </is>
      </c>
      <c r="B5" s="16" t="n">
        <v>2020000000</v>
      </c>
      <c r="C5" s="16" t="n">
        <v>830000000</v>
      </c>
      <c r="D5" s="16" t="n">
        <v>40000000</v>
      </c>
      <c r="E5" s="16" t="n">
        <v>530000000</v>
      </c>
      <c r="F5" s="16" t="n">
        <v>1360000000</v>
      </c>
      <c r="G5" s="16" t="n">
        <v>220000000</v>
      </c>
      <c r="H5" s="16" t="n">
        <v>400000000</v>
      </c>
      <c r="I5" s="16" t="n">
        <v>110000000</v>
      </c>
      <c r="J5" s="16" t="n">
        <v>650000000</v>
      </c>
      <c r="K5" s="16" t="n">
        <v>6160000000</v>
      </c>
    </row>
    <row r="6">
      <c r="A6" s="4" t="inlineStr">
        <is>
          <t>Variable Costs</t>
        </is>
      </c>
      <c r="B6" s="16" t="inlineStr">
        <is>
          <t>-</t>
        </is>
      </c>
      <c r="C6" s="16" t="n">
        <v>140000000</v>
      </c>
      <c r="D6" s="16" t="inlineStr">
        <is>
          <t>-</t>
        </is>
      </c>
      <c r="E6" s="16" t="n">
        <v>80000000</v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n">
        <v>220000000</v>
      </c>
    </row>
    <row r="7">
      <c r="A7" s="4" t="inlineStr">
        <is>
          <t>Personnel</t>
        </is>
      </c>
      <c r="B7" s="16" t="n">
        <v>1500000000</v>
      </c>
      <c r="C7" s="16" t="n">
        <v>600000000</v>
      </c>
      <c r="D7" s="16" t="n">
        <v>40000000</v>
      </c>
      <c r="E7" s="16" t="n">
        <v>300000000</v>
      </c>
      <c r="F7" s="16" t="n">
        <v>1200000000</v>
      </c>
      <c r="G7" s="16" t="n">
        <v>200000000</v>
      </c>
      <c r="H7" s="16" t="n">
        <v>260000000</v>
      </c>
      <c r="I7" s="16" t="n">
        <v>100000000</v>
      </c>
      <c r="J7" s="16" t="n">
        <v>500000000</v>
      </c>
      <c r="K7" s="16" t="n">
        <v>4700000000</v>
      </c>
    </row>
    <row r="8">
      <c r="A8" s="4" t="inlineStr">
        <is>
          <t>Outsourcing</t>
        </is>
      </c>
      <c r="B8" s="16" t="n">
        <v>200000000</v>
      </c>
      <c r="C8" s="16" t="n">
        <v>50000000</v>
      </c>
      <c r="D8" s="16" t="inlineStr">
        <is>
          <t>-</t>
        </is>
      </c>
      <c r="E8" s="16" t="n">
        <v>20000000</v>
      </c>
      <c r="F8" s="16" t="n">
        <v>60000000</v>
      </c>
      <c r="G8" s="16" t="n">
        <v>10000000</v>
      </c>
      <c r="H8" s="16" t="n">
        <v>70000000</v>
      </c>
      <c r="I8" s="16" t="n">
        <v>10000000</v>
      </c>
      <c r="J8" s="16" t="n">
        <v>100000000</v>
      </c>
      <c r="K8" s="16" t="n">
        <v>520000000</v>
      </c>
    </row>
    <row r="9">
      <c r="A9" s="4" t="inlineStr">
        <is>
          <t>Marketing</t>
        </is>
      </c>
      <c r="B9" s="16" t="n">
        <v>180000000</v>
      </c>
      <c r="C9" s="16" t="inlineStr">
        <is>
          <t>-</t>
        </is>
      </c>
      <c r="D9" s="16" t="inlineStr">
        <is>
          <t>-</t>
        </is>
      </c>
      <c r="E9" s="16" t="n">
        <v>90000000</v>
      </c>
      <c r="F9" s="16" t="inlineStr">
        <is>
          <t>-</t>
        </is>
      </c>
      <c r="G9" s="16" t="inlineStr">
        <is>
          <t>-</t>
        </is>
      </c>
      <c r="H9" s="16" t="n">
        <v>40000000</v>
      </c>
      <c r="I9" s="16" t="inlineStr">
        <is>
          <t>-</t>
        </is>
      </c>
      <c r="J9" s="16" t="inlineStr">
        <is>
          <t>-</t>
        </is>
      </c>
      <c r="K9" s="16" t="n">
        <v>310000000</v>
      </c>
    </row>
    <row r="10">
      <c r="A10" s="4" t="inlineStr">
        <is>
          <t>Infra</t>
        </is>
      </c>
      <c r="B10" s="16" t="n">
        <v>50000000</v>
      </c>
      <c r="C10" s="16" t="n">
        <v>10000000</v>
      </c>
      <c r="D10" s="16" t="inlineStr">
        <is>
          <t>-</t>
        </is>
      </c>
      <c r="E10" s="16" t="n">
        <v>20000000</v>
      </c>
      <c r="F10" s="16" t="n">
        <v>40000000</v>
      </c>
      <c r="G10" s="16" t="inlineStr">
        <is>
          <t>-</t>
        </is>
      </c>
      <c r="H10" s="16" t="n">
        <v>10000000</v>
      </c>
      <c r="I10" s="16" t="inlineStr">
        <is>
          <t>-</t>
        </is>
      </c>
      <c r="J10" s="16" t="n">
        <v>20000000</v>
      </c>
      <c r="K10" s="16" t="n">
        <v>150000000</v>
      </c>
    </row>
    <row r="11">
      <c r="A11" s="4" t="inlineStr">
        <is>
          <t>Others</t>
        </is>
      </c>
      <c r="B11" s="16" t="n">
        <v>90000000</v>
      </c>
      <c r="C11" s="16" t="n">
        <v>30000000</v>
      </c>
      <c r="D11" s="16" t="inlineStr">
        <is>
          <t>-</t>
        </is>
      </c>
      <c r="E11" s="16" t="n">
        <v>20000000</v>
      </c>
      <c r="F11" s="16" t="n">
        <v>60000000</v>
      </c>
      <c r="G11" s="16" t="n">
        <v>10000000</v>
      </c>
      <c r="H11" s="16" t="n">
        <v>20000000</v>
      </c>
      <c r="I11" s="16" t="inlineStr">
        <is>
          <t>-</t>
        </is>
      </c>
      <c r="J11" s="16" t="n">
        <v>30000000</v>
      </c>
      <c r="K11" s="16" t="n">
        <v>260000000</v>
      </c>
    </row>
    <row r="12">
      <c r="A12" s="4" t="inlineStr">
        <is>
          <t>Profit</t>
        </is>
      </c>
      <c r="B12" s="16" t="n">
        <v>-2000000000</v>
      </c>
      <c r="C12" s="16" t="n">
        <v>-330000000</v>
      </c>
      <c r="D12" s="16" t="n">
        <v>10000000</v>
      </c>
      <c r="E12" s="16" t="n">
        <v>-490000000</v>
      </c>
      <c r="F12" s="16" t="n">
        <v>-1060000000</v>
      </c>
      <c r="G12" s="16" t="n">
        <v>-220000000</v>
      </c>
      <c r="H12" s="16" t="n">
        <v>-390000000</v>
      </c>
      <c r="I12" s="16" t="n">
        <v>-30000000</v>
      </c>
      <c r="J12" s="16" t="n">
        <v>-650000000</v>
      </c>
      <c r="K12" s="16" t="n">
        <v>-5160000000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</cols>
  <sheetData>
    <row r="1" ht="24" customHeight="1">
      <c r="A1" s="10" t="inlineStr">
        <is>
          <t>Unifi KPI — 수익성 구조</t>
        </is>
      </c>
      <c r="D1" s="15" t="n"/>
    </row>
    <row r="2">
      <c r="A2" s="11" t="inlineStr">
        <is>
          <t>※ AUM·예치유저 데이터는 별도 파일(Unifi_AUM_일자별_*.xlsx)에서 관리·누적. 이 시트엔 수익성 구조만 입력.</t>
        </is>
      </c>
      <c r="D2" s="15" t="n"/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비고</t>
        </is>
      </c>
      <c r="D3" s="15" t="n"/>
    </row>
    <row r="4">
      <c r="A4" s="23" t="inlineStr">
        <is>
          <t>Superearn 이자</t>
        </is>
      </c>
      <c r="B4" s="24" t="inlineStr">
        <is>
          <t>6.0%</t>
        </is>
      </c>
      <c r="C4" s="25" t="inlineStr">
        <is>
          <t>임의</t>
        </is>
      </c>
      <c r="D4" s="21" t="n"/>
    </row>
    <row r="5">
      <c r="A5" s="23" t="inlineStr">
        <is>
          <t>예치풀 비중</t>
        </is>
      </c>
      <c r="B5" s="24" t="inlineStr">
        <is>
          <t>80%</t>
        </is>
      </c>
      <c r="C5" s="25" t="inlineStr">
        <is>
          <t>임의</t>
        </is>
      </c>
      <c r="D5" s="13" t="n"/>
    </row>
    <row r="6">
      <c r="A6" s="23" t="inlineStr">
        <is>
          <t>유저 지급이자</t>
        </is>
      </c>
      <c r="B6" s="24" t="inlineStr">
        <is>
          <t>4.0%</t>
        </is>
      </c>
      <c r="C6" s="25" t="inlineStr">
        <is>
          <t>임의</t>
        </is>
      </c>
      <c r="D6" s="13" t="n"/>
    </row>
    <row r="7">
      <c r="A7" s="23" t="inlineStr">
        <is>
          <t>Unifi 수익률</t>
        </is>
      </c>
      <c r="B7" s="24" t="inlineStr">
        <is>
          <t>0.8%</t>
        </is>
      </c>
      <c r="C7" s="25">
        <f> Superearn × 예치풀비중 − 유저 지급이자</f>
        <v/>
      </c>
      <c r="D7" s="13" t="n"/>
    </row>
    <row r="8">
      <c r="A8" s="14" t="n"/>
      <c r="B8" s="13" t="n"/>
      <c r="C8" s="13" t="n"/>
      <c r="D8" s="13" t="n"/>
    </row>
    <row r="9">
      <c r="A9" s="11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22" t="n"/>
      <c r="B11" s="15" t="n"/>
      <c r="C11" s="15" t="n"/>
      <c r="D11" s="15" t="n"/>
    </row>
    <row r="12">
      <c r="A12" s="21" t="n"/>
      <c r="B12" s="21" t="n"/>
      <c r="C12" s="15" t="n"/>
      <c r="D12" s="15" t="n"/>
    </row>
    <row r="13">
      <c r="A13" s="14" t="n"/>
      <c r="B13" s="13" t="n"/>
      <c r="C13" s="15" t="n"/>
      <c r="D13" s="15" t="n"/>
    </row>
    <row r="14">
      <c r="A14" s="14" t="n"/>
      <c r="B14" s="13" t="n"/>
      <c r="C14" s="15" t="n"/>
      <c r="D14" s="15" t="n"/>
    </row>
    <row r="15">
      <c r="A15" s="14" t="n"/>
      <c r="B15" s="13" t="n"/>
      <c r="C15" s="15" t="n"/>
      <c r="D15" s="15" t="n"/>
    </row>
    <row r="16">
      <c r="A16" s="14" t="n"/>
      <c r="B16" s="13" t="n"/>
      <c r="C16" s="15" t="n"/>
      <c r="D16" s="15" t="n"/>
    </row>
    <row r="17">
      <c r="A17" s="11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22" t="n"/>
      <c r="B19" s="15" t="n"/>
      <c r="C19" s="15" t="n"/>
      <c r="D19" s="15" t="n"/>
    </row>
    <row r="20">
      <c r="A20" s="21" t="n"/>
      <c r="B20" s="21" t="n"/>
      <c r="C20" s="21" t="n"/>
      <c r="D20" s="15" t="n"/>
    </row>
    <row r="21">
      <c r="A21" s="12" t="n"/>
      <c r="B21" s="13" t="n"/>
      <c r="C21" s="13" t="n"/>
      <c r="D21" s="15" t="n"/>
    </row>
    <row r="22">
      <c r="A22" s="12" t="n"/>
      <c r="B22" s="13" t="n"/>
      <c r="C22" s="13" t="n"/>
      <c r="D22" s="15" t="n"/>
    </row>
    <row r="23">
      <c r="A23" s="12" t="n"/>
      <c r="B23" s="13" t="n"/>
      <c r="C23" s="13" t="n"/>
      <c r="D23" s="15" t="n"/>
    </row>
    <row r="24">
      <c r="A24" s="12" t="n"/>
      <c r="B24" s="13" t="n"/>
      <c r="C24" s="13" t="n"/>
      <c r="D24" s="15" t="n"/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NEXT Market Profitability</t>
        </is>
      </c>
    </row>
    <row r="2">
      <c r="A2" s="2" t="inlineStr">
        <is>
          <t>누적5열(GMV/매출/변동비/보조금/한계이익)+당월4열(GMV/매출/변동비/한계이익).</t>
        </is>
      </c>
    </row>
    <row r="3">
      <c r="A3" s="3" t="inlineStr">
        <is>
          <t>타이틀</t>
        </is>
      </c>
      <c r="B3" s="3" t="inlineStr">
        <is>
          <t>온보딩</t>
        </is>
      </c>
      <c r="C3" s="3" t="inlineStr">
        <is>
          <t>누적GMV</t>
        </is>
      </c>
      <c r="D3" s="3" t="inlineStr">
        <is>
          <t>누적매출</t>
        </is>
      </c>
      <c r="E3" s="3" t="inlineStr">
        <is>
          <t>누적변동비</t>
        </is>
      </c>
      <c r="F3" s="3" t="inlineStr">
        <is>
          <t>누적보조금</t>
        </is>
      </c>
      <c r="G3" s="3" t="inlineStr">
        <is>
          <t>누적한계이익</t>
        </is>
      </c>
      <c r="H3" s="3" t="inlineStr">
        <is>
          <t>당월GMV</t>
        </is>
      </c>
      <c r="I3" s="3" t="inlineStr">
        <is>
          <t>당월매출</t>
        </is>
      </c>
      <c r="J3" s="3" t="inlineStr">
        <is>
          <t>당월변동비</t>
        </is>
      </c>
      <c r="K3" s="3" t="inlineStr">
        <is>
          <t>당월한계이익</t>
        </is>
      </c>
    </row>
    <row r="4">
      <c r="A4" s="4" t="inlineStr">
        <is>
          <t>Title A</t>
        </is>
      </c>
      <c r="B4" s="5" t="inlineStr">
        <is>
          <t>2024.03</t>
        </is>
      </c>
      <c r="C4" s="16" t="n">
        <v>8000000000</v>
      </c>
      <c r="D4" s="16" t="n">
        <v>2400000000</v>
      </c>
      <c r="E4" s="16" t="n">
        <v>360000000</v>
      </c>
      <c r="F4" s="16" t="n">
        <v>600000000</v>
      </c>
      <c r="G4" s="16" t="n">
        <v>1440000000</v>
      </c>
      <c r="H4" s="16" t="n">
        <v>500000000</v>
      </c>
      <c r="I4" s="16" t="n">
        <v>150000000</v>
      </c>
      <c r="J4" s="16" t="n">
        <v>20000000</v>
      </c>
      <c r="K4" s="16" t="n">
        <v>130000000</v>
      </c>
    </row>
    <row r="5">
      <c r="A5" s="4" t="inlineStr">
        <is>
          <t>Title B</t>
        </is>
      </c>
      <c r="B5" s="5" t="inlineStr">
        <is>
          <t>2024.11</t>
        </is>
      </c>
      <c r="C5" s="16" t="n">
        <v>12000000000</v>
      </c>
      <c r="D5" s="16" t="n">
        <v>1900000000</v>
      </c>
      <c r="E5" s="16" t="n">
        <v>600000000</v>
      </c>
      <c r="F5" s="16" t="n">
        <v>880000000</v>
      </c>
      <c r="G5" s="16" t="n">
        <v>420000000</v>
      </c>
      <c r="H5" s="16" t="n">
        <v>1500000000</v>
      </c>
      <c r="I5" s="16" t="n">
        <v>210000000</v>
      </c>
      <c r="J5" s="16" t="n">
        <v>80000000</v>
      </c>
      <c r="K5" s="16" t="n">
        <v>130000000</v>
      </c>
    </row>
    <row r="6">
      <c r="A6" s="4" t="inlineStr">
        <is>
          <t>Title C</t>
        </is>
      </c>
      <c r="B6" s="5" t="inlineStr">
        <is>
          <t>2024.06</t>
        </is>
      </c>
      <c r="C6" s="16" t="n">
        <v>3000000000</v>
      </c>
      <c r="D6" s="16" t="n">
        <v>800000000</v>
      </c>
      <c r="E6" s="16" t="n">
        <v>90000000</v>
      </c>
      <c r="F6" s="16" t="n">
        <v>200000000</v>
      </c>
      <c r="G6" s="16" t="n">
        <v>510000000</v>
      </c>
      <c r="H6" s="16" t="n">
        <v>130000000</v>
      </c>
      <c r="I6" s="16" t="n">
        <v>34000000</v>
      </c>
      <c r="J6" s="16" t="n">
        <v>3000000</v>
      </c>
      <c r="K6" s="16" t="n">
        <v>31000000</v>
      </c>
    </row>
    <row r="7">
      <c r="A7" s="4" t="inlineStr">
        <is>
          <t>Title D</t>
        </is>
      </c>
      <c r="B7" s="5" t="inlineStr">
        <is>
          <t>2025.01</t>
        </is>
      </c>
      <c r="C7" s="16" t="n">
        <v>1700000000</v>
      </c>
      <c r="D7" s="16" t="n">
        <v>420000000</v>
      </c>
      <c r="E7" s="16" t="n">
        <v>120000000</v>
      </c>
      <c r="F7" s="16" t="n">
        <v>150000000</v>
      </c>
      <c r="G7" s="16" t="n">
        <v>150000000</v>
      </c>
      <c r="H7" s="16" t="n">
        <v>120000000</v>
      </c>
      <c r="I7" s="16" t="n">
        <v>25000000</v>
      </c>
      <c r="J7" s="16" t="n">
        <v>10000000</v>
      </c>
      <c r="K7" s="16" t="n">
        <v>15000000</v>
      </c>
    </row>
    <row r="8">
      <c r="A8" s="4" t="inlineStr">
        <is>
          <t>Title E</t>
        </is>
      </c>
      <c r="B8" s="5" t="inlineStr">
        <is>
          <t>2025.03</t>
        </is>
      </c>
      <c r="C8" s="16" t="n">
        <v>1200000000</v>
      </c>
      <c r="D8" s="16" t="n">
        <v>300000000</v>
      </c>
      <c r="E8" s="16" t="n">
        <v>90000000</v>
      </c>
      <c r="F8" s="16" t="n">
        <v>120000000</v>
      </c>
      <c r="G8" s="16" t="n">
        <v>90000000</v>
      </c>
      <c r="H8" s="16" t="n">
        <v>90000000</v>
      </c>
      <c r="I8" s="16" t="n">
        <v>20000000</v>
      </c>
      <c r="J8" s="16" t="n">
        <v>8000000</v>
      </c>
      <c r="K8" s="16" t="n">
        <v>12000000</v>
      </c>
    </row>
    <row r="9">
      <c r="A9" s="4" t="inlineStr">
        <is>
          <t>Title F</t>
        </is>
      </c>
      <c r="B9" s="5" t="inlineStr">
        <is>
          <t>2025.05</t>
        </is>
      </c>
      <c r="C9" s="16" t="n">
        <v>500000000</v>
      </c>
      <c r="D9" s="16" t="n">
        <v>140000000</v>
      </c>
      <c r="E9" s="16" t="n">
        <v>40000000</v>
      </c>
      <c r="F9" s="16" t="n">
        <v>70000000</v>
      </c>
      <c r="G9" s="16" t="n">
        <v>30000000</v>
      </c>
      <c r="H9" s="16" t="n">
        <v>20000000</v>
      </c>
      <c r="I9" s="16" t="n">
        <v>7000000</v>
      </c>
      <c r="J9" s="16" t="n">
        <v>3000000</v>
      </c>
      <c r="K9" s="16" t="n">
        <v>4000000</v>
      </c>
    </row>
    <row r="10">
      <c r="A10" s="4" t="inlineStr">
        <is>
          <t>Title G</t>
        </is>
      </c>
      <c r="B10" s="5" t="inlineStr">
        <is>
          <t>2025.06</t>
        </is>
      </c>
      <c r="C10" s="16" t="n">
        <v>400000000</v>
      </c>
      <c r="D10" s="16" t="n">
        <v>90000000</v>
      </c>
      <c r="E10" s="16" t="n">
        <v>45000000</v>
      </c>
      <c r="F10" s="16" t="n">
        <v>55000000</v>
      </c>
      <c r="G10" s="16" t="n">
        <v>-10000000</v>
      </c>
      <c r="H10" s="16" t="n">
        <v>20000000</v>
      </c>
      <c r="I10" s="16" t="n">
        <v>3000000</v>
      </c>
      <c r="J10" s="16" t="n">
        <v>3000000</v>
      </c>
      <c r="K10" s="16" t="inlineStr">
        <is>
          <t>-</t>
        </is>
      </c>
    </row>
    <row r="11">
      <c r="A11" s="4" t="inlineStr">
        <is>
          <t>etc</t>
        </is>
      </c>
      <c r="B11" s="5" t="inlineStr">
        <is>
          <t>-</t>
        </is>
      </c>
      <c r="C11" s="16" t="n">
        <v>200000000</v>
      </c>
      <c r="D11" s="16" t="n">
        <v>60000000</v>
      </c>
      <c r="E11" s="16" t="n">
        <v>15000000</v>
      </c>
      <c r="F11" s="16" t="n">
        <v>25000000</v>
      </c>
      <c r="G11" s="16" t="n">
        <v>20000000</v>
      </c>
      <c r="H11" s="16" t="n">
        <v>5000000</v>
      </c>
      <c r="I11" s="16" t="n">
        <v>2000000</v>
      </c>
      <c r="J11" s="16" t="n">
        <v>1000000</v>
      </c>
      <c r="K11" s="16" t="n">
        <v>1000000</v>
      </c>
    </row>
    <row r="12">
      <c r="A12" s="4" t="inlineStr">
        <is>
          <t>Total</t>
        </is>
      </c>
      <c r="B12" s="5" t="inlineStr">
        <is>
          <t>-</t>
        </is>
      </c>
      <c r="C12" s="16" t="n">
        <v>27000000000</v>
      </c>
      <c r="D12" s="16" t="n">
        <v>6110000000</v>
      </c>
      <c r="E12" s="16" t="n">
        <v>1360000000</v>
      </c>
      <c r="F12" s="16" t="n">
        <v>2100000000</v>
      </c>
      <c r="G12" s="16" t="n">
        <v>2650000000</v>
      </c>
      <c r="H12" s="16" t="n">
        <v>2385000000</v>
      </c>
      <c r="I12" s="16" t="n">
        <v>451000000</v>
      </c>
      <c r="J12" s="16" t="n">
        <v>128000000</v>
      </c>
      <c r="K12" s="16" t="n">
        <v>323000000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Personnel Expenses &amp; Headcount</t>
        </is>
      </c>
    </row>
    <row r="2">
      <c r="A2" s="2" t="inlineStr">
        <is>
          <t>비용(백만원)+인원(명), Employee/Outsourcing.</t>
        </is>
      </c>
    </row>
    <row r="3">
      <c r="A3" s="3" t="inlineStr">
        <is>
          <t>제품</t>
        </is>
      </c>
      <c r="B3" s="3" t="inlineStr">
        <is>
          <t>비용_Employee</t>
        </is>
      </c>
      <c r="C3" s="3" t="inlineStr">
        <is>
          <t>비용_Outsourcing</t>
        </is>
      </c>
      <c r="D3" s="3" t="inlineStr">
        <is>
          <t>인원_Employee</t>
        </is>
      </c>
      <c r="E3" s="3" t="inlineStr">
        <is>
          <t>인원_Outsourcing</t>
        </is>
      </c>
    </row>
    <row r="4">
      <c r="A4" s="4" t="inlineStr">
        <is>
          <t>Unifi</t>
        </is>
      </c>
      <c r="B4" s="16" t="n">
        <v>1500000000</v>
      </c>
      <c r="C4" s="16" t="n">
        <v>1550000000</v>
      </c>
      <c r="D4" s="17" t="n">
        <v>100</v>
      </c>
      <c r="E4" s="17" t="n">
        <v>105</v>
      </c>
    </row>
    <row r="5">
      <c r="A5" s="4" t="inlineStr">
        <is>
          <t>NEXT Market</t>
        </is>
      </c>
      <c r="B5" s="16" t="n">
        <v>600000000</v>
      </c>
      <c r="C5" s="16" t="n">
        <v>610000000</v>
      </c>
      <c r="D5" s="17" t="n">
        <v>40</v>
      </c>
      <c r="E5" s="17" t="n">
        <v>40</v>
      </c>
    </row>
    <row r="6">
      <c r="A6" s="4" t="inlineStr">
        <is>
          <t>AI Friends</t>
        </is>
      </c>
      <c r="B6" s="16" t="n">
        <v>40000000</v>
      </c>
      <c r="C6" s="16" t="n">
        <v>40000000</v>
      </c>
      <c r="D6" s="17" t="n">
        <v>4</v>
      </c>
      <c r="E6" s="17" t="n">
        <v>4</v>
      </c>
    </row>
    <row r="7">
      <c r="A7" s="4" t="inlineStr">
        <is>
          <t>Hyze</t>
        </is>
      </c>
      <c r="B7" s="16" t="n">
        <v>300000000</v>
      </c>
      <c r="C7" s="16" t="n">
        <v>310000000</v>
      </c>
      <c r="D7" s="17" t="n">
        <v>22</v>
      </c>
      <c r="E7" s="17" t="n">
        <v>22</v>
      </c>
    </row>
    <row r="8">
      <c r="A8" s="4" t="inlineStr">
        <is>
          <t>Game</t>
        </is>
      </c>
      <c r="B8" s="16" t="n">
        <v>1200000000</v>
      </c>
      <c r="C8" s="16" t="n">
        <v>1210000000</v>
      </c>
      <c r="D8" s="17" t="n">
        <v>85</v>
      </c>
      <c r="E8" s="17" t="n">
        <v>85</v>
      </c>
    </row>
    <row r="9">
      <c r="A9" s="4" t="inlineStr">
        <is>
          <t>Alive</t>
        </is>
      </c>
      <c r="B9" s="16" t="n">
        <v>200000000</v>
      </c>
      <c r="C9" s="16" t="n">
        <v>200000000</v>
      </c>
      <c r="D9" s="17" t="n">
        <v>15</v>
      </c>
      <c r="E9" s="17" t="n">
        <v>15</v>
      </c>
    </row>
    <row r="10">
      <c r="A10" s="4" t="inlineStr">
        <is>
          <t>MOLTS</t>
        </is>
      </c>
      <c r="B10" s="16" t="n">
        <v>260000000</v>
      </c>
      <c r="C10" s="16" t="n">
        <v>280000000</v>
      </c>
      <c r="D10" s="17" t="n">
        <v>18</v>
      </c>
      <c r="E10" s="17" t="n">
        <v>20</v>
      </c>
    </row>
    <row r="11">
      <c r="A11" s="4" t="inlineStr">
        <is>
          <t>Service Supply</t>
        </is>
      </c>
      <c r="B11" s="16" t="n">
        <v>100000000</v>
      </c>
      <c r="C11" s="16" t="n">
        <v>100000000</v>
      </c>
      <c r="D11" s="17" t="n">
        <v>5</v>
      </c>
      <c r="E11" s="17" t="n">
        <v>5</v>
      </c>
    </row>
    <row r="12">
      <c r="A12" s="4" t="inlineStr">
        <is>
          <t>etc</t>
        </is>
      </c>
      <c r="B12" s="16" t="n">
        <v>500000000</v>
      </c>
      <c r="C12" s="16" t="n">
        <v>560000000</v>
      </c>
      <c r="D12" s="17" t="n">
        <v>32</v>
      </c>
      <c r="E12" s="17" t="n">
        <v>35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Marketing</t>
        </is>
      </c>
    </row>
    <row r="2">
      <c r="A2" s="2" t="inlineStr">
        <is>
          <t>Composition(도넛) 채널별 + Plan vs Actual 6개월.</t>
        </is>
      </c>
    </row>
    <row r="3">
      <c r="A3" s="7" t="inlineStr">
        <is>
          <t>Composition (도넛)</t>
        </is>
      </c>
    </row>
    <row r="4">
      <c r="A4" s="3" t="inlineStr">
        <is>
          <t>채널</t>
        </is>
      </c>
      <c r="B4" s="3" t="inlineStr">
        <is>
          <t>비용</t>
        </is>
      </c>
    </row>
    <row r="5">
      <c r="A5" s="6" t="inlineStr">
        <is>
          <t>Unifi</t>
        </is>
      </c>
      <c r="B5" s="16" t="n">
        <v>180000000</v>
      </c>
    </row>
    <row r="6">
      <c r="A6" s="6" t="inlineStr">
        <is>
          <t>Hyze</t>
        </is>
      </c>
      <c r="B6" s="16" t="n">
        <v>90000000</v>
      </c>
    </row>
    <row r="7">
      <c r="A7" s="6" t="inlineStr">
        <is>
          <t>MOLTS</t>
        </is>
      </c>
      <c r="B7" s="16" t="n">
        <v>40000000</v>
      </c>
    </row>
    <row r="8">
      <c r="A8" s="6" t="inlineStr">
        <is>
          <t>NEXT Market</t>
        </is>
      </c>
      <c r="B8" s="16" t="n">
        <v>10000000</v>
      </c>
    </row>
    <row r="10">
      <c r="A10" s="7" t="inlineStr">
        <is>
          <t>Plan vs Actual (6개월)</t>
        </is>
      </c>
    </row>
    <row r="11">
      <c r="A11" s="3" t="inlineStr"/>
      <c r="B11" s="3" t="inlineStr">
        <is>
          <t>26.01</t>
        </is>
      </c>
      <c r="C11" s="3" t="inlineStr">
        <is>
          <t>26.02</t>
        </is>
      </c>
      <c r="D11" s="3" t="inlineStr">
        <is>
          <t>26.03</t>
        </is>
      </c>
      <c r="E11" s="3" t="inlineStr">
        <is>
          <t>26.04</t>
        </is>
      </c>
      <c r="F11" s="3" t="inlineStr">
        <is>
          <t>26.05</t>
        </is>
      </c>
      <c r="G11" s="3" t="inlineStr">
        <is>
          <t>26.06(F)</t>
        </is>
      </c>
    </row>
    <row r="12">
      <c r="A12" s="4" t="inlineStr">
        <is>
          <t>Plan</t>
        </is>
      </c>
      <c r="B12" s="16" t="n">
        <v>5000000000</v>
      </c>
      <c r="C12" s="16" t="n">
        <v>4800000000</v>
      </c>
      <c r="D12" s="16" t="n">
        <v>5200000000</v>
      </c>
      <c r="E12" s="16" t="n">
        <v>600000000</v>
      </c>
      <c r="F12" s="16" t="n">
        <v>2200000000</v>
      </c>
      <c r="G12" s="16" t="n">
        <v>3600000000</v>
      </c>
    </row>
    <row r="13">
      <c r="A13" s="4" t="inlineStr">
        <is>
          <t>Actual</t>
        </is>
      </c>
      <c r="B13" s="16" t="n">
        <v>500000000</v>
      </c>
      <c r="C13" s="16" t="n">
        <v>300000000</v>
      </c>
      <c r="D13" s="16" t="n">
        <v>200000000</v>
      </c>
      <c r="E13" s="16" t="n">
        <v>2400000000</v>
      </c>
      <c r="F13" s="16" t="n">
        <v>400000000</v>
      </c>
      <c r="G13" s="16" t="n">
        <v>1300000000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Balance Sheet</t>
        </is>
      </c>
    </row>
    <row r="2">
      <c r="A2" s="2" t="inlineStr">
        <is>
          <t>자산/부채/자본+MoM% + 비율 3종.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MoM</t>
        </is>
      </c>
      <c r="D3" s="3" t="inlineStr">
        <is>
          <t>비고</t>
        </is>
      </c>
    </row>
    <row r="4">
      <c r="A4" s="4" t="inlineStr">
        <is>
          <t>Assets</t>
        </is>
      </c>
      <c r="B4" s="16" t="n">
        <v>90000000000</v>
      </c>
      <c r="C4" s="18" t="inlineStr">
        <is>
          <t>-5%</t>
        </is>
      </c>
      <c r="D4" s="5" t="inlineStr"/>
    </row>
    <row r="5">
      <c r="A5" s="4" t="inlineStr">
        <is>
          <t xml:space="preserve">  Current</t>
        </is>
      </c>
      <c r="B5" s="16" t="n">
        <v>60000000000</v>
      </c>
      <c r="C5" s="18" t="inlineStr">
        <is>
          <t>-4%</t>
        </is>
      </c>
      <c r="D5" s="5" t="inlineStr">
        <is>
          <t>임의값(추후 실수치 입력)</t>
        </is>
      </c>
    </row>
    <row r="6">
      <c r="A6" s="4" t="inlineStr">
        <is>
          <t xml:space="preserve">  Non-current</t>
        </is>
      </c>
      <c r="B6" s="16" t="n">
        <v>30000000000</v>
      </c>
      <c r="C6" s="18" t="inlineStr">
        <is>
          <t>-6%</t>
        </is>
      </c>
      <c r="D6" s="5" t="inlineStr">
        <is>
          <t>임의값(추후 실수치 입력)</t>
        </is>
      </c>
    </row>
    <row r="7">
      <c r="A7" s="4" t="inlineStr">
        <is>
          <t>Liabilities</t>
        </is>
      </c>
      <c r="B7" s="16" t="n">
        <v>40000000000</v>
      </c>
      <c r="C7" s="18" t="inlineStr">
        <is>
          <t>-8%</t>
        </is>
      </c>
      <c r="D7" s="5" t="inlineStr"/>
    </row>
    <row r="8">
      <c r="A8" s="4" t="inlineStr">
        <is>
          <t xml:space="preserve">  Current</t>
        </is>
      </c>
      <c r="B8" s="16" t="n">
        <v>25000000000</v>
      </c>
      <c r="C8" s="18" t="inlineStr">
        <is>
          <t>-10%</t>
        </is>
      </c>
      <c r="D8" s="5" t="inlineStr">
        <is>
          <t>임의값(추후 실수치 입력)</t>
        </is>
      </c>
    </row>
    <row r="9">
      <c r="A9" s="4" t="inlineStr">
        <is>
          <t xml:space="preserve">  Non-current</t>
        </is>
      </c>
      <c r="B9" s="16" t="n">
        <v>15000000000</v>
      </c>
      <c r="C9" s="18" t="inlineStr">
        <is>
          <t>-3%</t>
        </is>
      </c>
      <c r="D9" s="5" t="inlineStr">
        <is>
          <t>임의값(추후 실수치 입력)</t>
        </is>
      </c>
    </row>
    <row r="10">
      <c r="A10" s="4" t="inlineStr">
        <is>
          <t>Equity</t>
        </is>
      </c>
      <c r="B10" s="16" t="n">
        <v>50000000000</v>
      </c>
      <c r="C10" s="18" t="inlineStr">
        <is>
          <t>-5%</t>
        </is>
      </c>
      <c r="D10" s="5" t="inlineStr"/>
    </row>
    <row r="11">
      <c r="A11" s="4" t="inlineStr">
        <is>
          <t xml:space="preserve">  Deficit</t>
        </is>
      </c>
      <c r="B11" s="16" t="n">
        <v>-120000000000</v>
      </c>
      <c r="C11" s="18" t="inlineStr">
        <is>
          <t>-1%</t>
        </is>
      </c>
      <c r="D11" s="5" t="inlineStr">
        <is>
          <t>임의값(추후 실수치)</t>
        </is>
      </c>
    </row>
    <row r="13">
      <c r="A13" s="7" t="inlineStr">
        <is>
          <t>비율 지표</t>
        </is>
      </c>
    </row>
    <row r="14">
      <c r="A14" s="3" t="inlineStr">
        <is>
          <t>지표</t>
        </is>
      </c>
      <c r="B14" s="3" t="inlineStr">
        <is>
          <t>값1</t>
        </is>
      </c>
      <c r="C14" s="3" t="inlineStr">
        <is>
          <t>값2</t>
        </is>
      </c>
      <c r="D14" s="3" t="inlineStr">
        <is>
          <t>설명</t>
        </is>
      </c>
    </row>
    <row r="15">
      <c r="A15" s="6" t="inlineStr">
        <is>
          <t>Current Ratio</t>
        </is>
      </c>
      <c r="B15" s="5" t="inlineStr">
        <is>
          <t>Apr 280%</t>
        </is>
      </c>
      <c r="C15" s="5" t="inlineStr">
        <is>
          <t>May 260%</t>
        </is>
      </c>
      <c r="D15" s="5" t="inlineStr">
        <is>
          <t>전월/당월</t>
        </is>
      </c>
    </row>
    <row r="16">
      <c r="A16" s="6" t="inlineStr">
        <is>
          <t>Debt Ratio</t>
        </is>
      </c>
      <c r="B16" s="5" t="inlineStr">
        <is>
          <t>44% (to Asset)</t>
        </is>
      </c>
      <c r="C16" s="5" t="inlineStr">
        <is>
          <t>80% (to Equity)</t>
        </is>
      </c>
      <c r="D16" s="5" t="inlineStr">
        <is>
          <t>게이지2</t>
        </is>
      </c>
    </row>
    <row r="17">
      <c r="A17" s="6" t="inlineStr">
        <is>
          <t>Equity Ratio</t>
        </is>
      </c>
      <c r="B17" s="5" t="inlineStr">
        <is>
          <t>56% (to Asset)</t>
        </is>
      </c>
      <c r="C17" s="5" t="inlineStr"/>
      <c r="D17" s="5" t="inlineStr">
        <is>
          <t>게이지1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 ht="24" customHeight="1">
      <c r="A1" s="1" t="inlineStr">
        <is>
          <t>Key Elements of BS</t>
        </is>
      </c>
    </row>
    <row r="2">
      <c r="A2" s="2" t="inlineStr">
        <is>
          <t>자산·부채 세부 Apr/May. Market Value Gap 별도.</t>
        </is>
      </c>
    </row>
    <row r="3">
      <c r="A3" s="3" t="inlineStr">
        <is>
          <t>구분</t>
        </is>
      </c>
      <c r="B3" s="3" t="inlineStr">
        <is>
          <t>항목</t>
        </is>
      </c>
      <c r="C3" s="3" t="inlineStr">
        <is>
          <t>Apr 26</t>
        </is>
      </c>
      <c r="D3" s="3" t="inlineStr">
        <is>
          <t>May 26</t>
        </is>
      </c>
    </row>
    <row r="4">
      <c r="A4" s="6" t="inlineStr">
        <is>
          <t>Asset</t>
        </is>
      </c>
      <c r="B4" s="5" t="inlineStr">
        <is>
          <t>현금</t>
        </is>
      </c>
      <c r="C4" s="16" t="n">
        <v>65000000000</v>
      </c>
      <c r="D4" s="16" t="n">
        <v>63000000000</v>
      </c>
    </row>
    <row r="5">
      <c r="A5" s="6" t="inlineStr">
        <is>
          <t>Asset</t>
        </is>
      </c>
      <c r="B5" s="5" t="inlineStr">
        <is>
          <t>매출채권</t>
        </is>
      </c>
      <c r="C5" s="16" t="n">
        <v>6000000000</v>
      </c>
      <c r="D5" s="16" t="n">
        <v>6100000000</v>
      </c>
    </row>
    <row r="6">
      <c r="A6" s="6" t="inlineStr">
        <is>
          <t>Asset</t>
        </is>
      </c>
      <c r="B6" s="5" t="inlineStr">
        <is>
          <t>기타채권</t>
        </is>
      </c>
      <c r="C6" s="16" t="n">
        <v>2400000000</v>
      </c>
      <c r="D6" s="16" t="n">
        <v>900000000</v>
      </c>
    </row>
    <row r="7">
      <c r="A7" s="6" t="inlineStr">
        <is>
          <t>Asset</t>
        </is>
      </c>
      <c r="B7" s="5" t="inlineStr">
        <is>
          <t>가상화폐</t>
        </is>
      </c>
      <c r="C7" s="16" t="n">
        <v>12000000000</v>
      </c>
      <c r="D7" s="16" t="n">
        <v>10800000000</v>
      </c>
    </row>
    <row r="8">
      <c r="A8" s="6" t="inlineStr">
        <is>
          <t>Asset</t>
        </is>
      </c>
      <c r="B8" s="5" t="inlineStr">
        <is>
          <t>임차보증금</t>
        </is>
      </c>
      <c r="C8" s="16" t="n">
        <v>1600000000</v>
      </c>
      <c r="D8" s="16" t="n">
        <v>800000000</v>
      </c>
    </row>
    <row r="9">
      <c r="A9" s="6" t="inlineStr">
        <is>
          <t>Asset</t>
        </is>
      </c>
      <c r="B9" s="5" t="inlineStr">
        <is>
          <t>사용권자산</t>
        </is>
      </c>
      <c r="C9" s="16" t="n">
        <v>3800000000</v>
      </c>
      <c r="D9" s="16" t="n">
        <v>3700000000</v>
      </c>
    </row>
    <row r="10">
      <c r="A10" s="6" t="inlineStr">
        <is>
          <t>Asset</t>
        </is>
      </c>
      <c r="B10" s="5" t="inlineStr">
        <is>
          <t>기타자산</t>
        </is>
      </c>
      <c r="C10" s="16" t="n">
        <v>12000000000</v>
      </c>
      <c r="D10" s="16" t="n">
        <v>12200000000</v>
      </c>
    </row>
    <row r="11">
      <c r="A11" s="6" t="inlineStr">
        <is>
          <t>Liabilities</t>
        </is>
      </c>
      <c r="B11" s="5" t="inlineStr">
        <is>
          <t>미지급금</t>
        </is>
      </c>
      <c r="C11" s="16" t="n">
        <v>9900000000</v>
      </c>
      <c r="D11" s="16" t="n">
        <v>8000000000</v>
      </c>
    </row>
    <row r="12">
      <c r="A12" s="6" t="inlineStr">
        <is>
          <t>Liabilities</t>
        </is>
      </c>
      <c r="B12" s="5" t="inlineStr">
        <is>
          <t>미지급상여</t>
        </is>
      </c>
      <c r="C12" s="16" t="n">
        <v>200000000</v>
      </c>
      <c r="D12" s="16" t="n">
        <v>800000000</v>
      </c>
    </row>
    <row r="13">
      <c r="A13" s="6" t="inlineStr">
        <is>
          <t>Liabilities</t>
        </is>
      </c>
      <c r="B13" s="5" t="inlineStr">
        <is>
          <t>리스부채</t>
        </is>
      </c>
      <c r="C13" s="16" t="n">
        <v>3100000000</v>
      </c>
      <c r="D13" s="16" t="n">
        <v>1700000000</v>
      </c>
    </row>
    <row r="14">
      <c r="A14" s="6" t="inlineStr">
        <is>
          <t>Liabilities</t>
        </is>
      </c>
      <c r="B14" s="5" t="inlineStr">
        <is>
          <t>예수금</t>
        </is>
      </c>
      <c r="C14" s="16" t="n">
        <v>3300000000</v>
      </c>
      <c r="D14" s="16" t="n">
        <v>2400000000</v>
      </c>
    </row>
    <row r="15">
      <c r="A15" s="6" t="inlineStr">
        <is>
          <t>Liabilities</t>
        </is>
      </c>
      <c r="B15" s="5" t="inlineStr">
        <is>
          <t>퇴직급여부채</t>
        </is>
      </c>
      <c r="C15" s="16" t="n">
        <v>20000000000</v>
      </c>
      <c r="D15" s="16" t="n">
        <v>20200000000</v>
      </c>
    </row>
    <row r="16">
      <c r="A16" s="6" t="inlineStr">
        <is>
          <t>Liabilities</t>
        </is>
      </c>
      <c r="B16" s="5" t="inlineStr">
        <is>
          <t>장기리스부채</t>
        </is>
      </c>
      <c r="C16" s="16" t="n">
        <v>2200000000</v>
      </c>
      <c r="D16" s="16" t="n">
        <v>2000000000</v>
      </c>
    </row>
    <row r="17">
      <c r="A17" s="6" t="inlineStr">
        <is>
          <t>Liabilities</t>
        </is>
      </c>
      <c r="B17" s="5" t="inlineStr">
        <is>
          <t>기타부채</t>
        </is>
      </c>
      <c r="C17" s="16" t="n">
        <v>6000000000</v>
      </c>
      <c r="D17" s="16" t="n">
        <v>5400000000</v>
      </c>
    </row>
    <row r="19">
      <c r="A19" s="6" t="inlineStr">
        <is>
          <t>Market Value Gap</t>
        </is>
      </c>
      <c r="B19" s="16" t="n">
        <v>-1500000000</v>
      </c>
      <c r="C19" s="5" t="inlineStr">
        <is>
          <t>백만원</t>
        </is>
      </c>
      <c r="D19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</cols>
  <sheetData>
    <row r="1" ht="24" customHeight="1">
      <c r="A1" s="1" t="inlineStr">
        <is>
          <t>Cash Flow</t>
        </is>
      </c>
    </row>
    <row r="2">
      <c r="A2" s="2" t="inlineStr">
        <is>
          <t>워터폴(시작→영업→투자→재무→종료)+활동별 불릿.</t>
        </is>
      </c>
    </row>
    <row r="3">
      <c r="A3" s="3" t="inlineStr">
        <is>
          <t>스텝</t>
        </is>
      </c>
      <c r="B3" s="3" t="inlineStr">
        <is>
          <t>값</t>
        </is>
      </c>
      <c r="C3" s="3" t="inlineStr">
        <is>
          <t>라벨</t>
        </is>
      </c>
    </row>
    <row r="4">
      <c r="A4" s="6" t="inlineStr">
        <is>
          <t>시작</t>
        </is>
      </c>
      <c r="B4" s="16" t="n">
        <v>65000000000</v>
      </c>
      <c r="C4" s="5" t="inlineStr">
        <is>
          <t>End of FY25</t>
        </is>
      </c>
    </row>
    <row r="5">
      <c r="A5" s="6" t="inlineStr">
        <is>
          <t>Operating</t>
        </is>
      </c>
      <c r="B5" s="16" t="n">
        <v>-8000000000</v>
      </c>
      <c r="C5" s="5" t="inlineStr">
        <is>
          <t>영업활동</t>
        </is>
      </c>
    </row>
    <row r="6">
      <c r="A6" s="6" t="inlineStr">
        <is>
          <t>Investing</t>
        </is>
      </c>
      <c r="B6" s="16" t="n">
        <v>800000000</v>
      </c>
      <c r="C6" s="5" t="inlineStr">
        <is>
          <t>투자활동</t>
        </is>
      </c>
    </row>
    <row r="7">
      <c r="A7" s="6" t="inlineStr">
        <is>
          <t>Financing</t>
        </is>
      </c>
      <c r="B7" s="16" t="n">
        <v>-1800000000</v>
      </c>
      <c r="C7" s="5" t="inlineStr">
        <is>
          <t>재무활동</t>
        </is>
      </c>
    </row>
    <row r="8">
      <c r="A8" s="6" t="inlineStr">
        <is>
          <t>종료</t>
        </is>
      </c>
      <c r="B8" s="16" t="n">
        <v>56000000000</v>
      </c>
      <c r="C8" s="5" t="inlineStr">
        <is>
          <t>May 26</t>
        </is>
      </c>
    </row>
    <row r="10">
      <c r="A10" s="7" t="inlineStr">
        <is>
          <t>Operating Activities (-8,000)</t>
        </is>
      </c>
    </row>
    <row r="11">
      <c r="A11" s="8" t="inlineStr">
        <is>
          <t>• 영업활동에 따른 현금 유출</t>
        </is>
      </c>
    </row>
    <row r="12">
      <c r="A12" s="8" t="inlineStr">
        <is>
          <t>• 디지털자산 수취에 따른 유입</t>
        </is>
      </c>
    </row>
    <row r="14">
      <c r="A14" s="7" t="inlineStr">
        <is>
          <t>Investing Activities (+800)</t>
        </is>
      </c>
    </row>
    <row r="15">
      <c r="A15" s="8" t="inlineStr">
        <is>
          <t>• 리스채권 회수에 따른 유입</t>
        </is>
      </c>
    </row>
    <row r="16">
      <c r="A16" s="8" t="inlineStr">
        <is>
          <t>• 임차보증금 감소에 따른 유입</t>
        </is>
      </c>
    </row>
    <row r="18">
      <c r="A18" s="7" t="inlineStr">
        <is>
          <t>Financing Activities (-1,800)</t>
        </is>
      </c>
    </row>
    <row r="19">
      <c r="A19" s="8" t="inlineStr">
        <is>
          <t>• 리스부채 상환에 따른 유출</t>
        </is>
      </c>
    </row>
    <row r="20">
      <c r="A20" s="8" t="inlineStr">
        <is>
          <t>• 현금성자산 환율변동 효과</t>
        </is>
      </c>
    </row>
    <row r="22">
      <c r="A22" s="9" t="inlineStr">
        <is>
          <t>주석: 종료 현금에 디지털자산 포함</t>
        </is>
      </c>
    </row>
  </sheetData>
  <mergeCells count="9">
    <mergeCell ref="A19:C19"/>
    <mergeCell ref="A11:C11"/>
    <mergeCell ref="A1:C1"/>
    <mergeCell ref="A16:C16"/>
    <mergeCell ref="A22:C22"/>
    <mergeCell ref="A12:C12"/>
    <mergeCell ref="A20:C20"/>
    <mergeCell ref="A2:C2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4" customHeight="1">
      <c r="A1" s="1" t="inlineStr">
        <is>
          <t>Cash &amp; Crypto Projection (15개월)</t>
        </is>
      </c>
    </row>
    <row r="2">
      <c r="A2" s="2" t="inlineStr">
        <is>
          <t>Cash/Kaia 스택 + Profit 추이. 26.01~27.03.</t>
        </is>
      </c>
    </row>
    <row r="3">
      <c r="A3" s="3" t="inlineStr"/>
      <c r="B3" s="3" t="inlineStr">
        <is>
          <t>26.01</t>
        </is>
      </c>
      <c r="C3" s="3" t="inlineStr">
        <is>
          <t>26.02</t>
        </is>
      </c>
      <c r="D3" s="3" t="inlineStr">
        <is>
          <t>26.03</t>
        </is>
      </c>
      <c r="E3" s="3" t="inlineStr">
        <is>
          <t>26.04</t>
        </is>
      </c>
      <c r="F3" s="3" t="inlineStr">
        <is>
          <t>26.05</t>
        </is>
      </c>
      <c r="G3" s="3" t="inlineStr">
        <is>
          <t>26.06</t>
        </is>
      </c>
      <c r="H3" s="3" t="inlineStr">
        <is>
          <t>26.07</t>
        </is>
      </c>
      <c r="I3" s="3" t="inlineStr">
        <is>
          <t>26.08</t>
        </is>
      </c>
      <c r="J3" s="3" t="inlineStr">
        <is>
          <t>26.09</t>
        </is>
      </c>
      <c r="K3" s="3" t="inlineStr">
        <is>
          <t>26.10</t>
        </is>
      </c>
      <c r="L3" s="3" t="inlineStr">
        <is>
          <t>26.11</t>
        </is>
      </c>
      <c r="M3" s="3" t="inlineStr">
        <is>
          <t>26.12</t>
        </is>
      </c>
      <c r="N3" s="3" t="inlineStr">
        <is>
          <t>27.01</t>
        </is>
      </c>
      <c r="O3" s="3" t="inlineStr">
        <is>
          <t>27.02</t>
        </is>
      </c>
      <c r="P3" s="3" t="inlineStr">
        <is>
          <t>27.03</t>
        </is>
      </c>
    </row>
    <row r="4">
      <c r="A4" s="4" t="inlineStr">
        <is>
          <t>Cash</t>
        </is>
      </c>
      <c r="B4" s="16" t="n">
        <v>70000000000</v>
      </c>
      <c r="C4" s="16" t="n">
        <v>68000000000</v>
      </c>
      <c r="D4" s="16" t="n">
        <v>66000000000</v>
      </c>
      <c r="E4" s="16" t="n">
        <v>64000000000</v>
      </c>
      <c r="F4" s="16" t="n">
        <v>63000000000</v>
      </c>
      <c r="G4" s="16" t="n">
        <v>62000000000</v>
      </c>
      <c r="H4" s="16" t="n">
        <v>60000000000</v>
      </c>
      <c r="I4" s="16" t="n">
        <v>58000000000</v>
      </c>
      <c r="J4" s="16" t="n">
        <v>56000000000</v>
      </c>
      <c r="K4" s="16" t="n">
        <v>55000000000</v>
      </c>
      <c r="L4" s="16" t="n">
        <v>54000000000</v>
      </c>
      <c r="M4" s="16" t="n">
        <v>55000000000</v>
      </c>
      <c r="N4" s="16" t="n">
        <v>56000000000</v>
      </c>
      <c r="O4" s="16" t="n">
        <v>57000000000</v>
      </c>
      <c r="P4" s="16" t="n">
        <v>58000000000</v>
      </c>
    </row>
    <row r="5">
      <c r="A5" s="4" t="inlineStr">
        <is>
          <t>Kaia</t>
        </is>
      </c>
      <c r="B5" s="16" t="n">
        <v>6000000000</v>
      </c>
      <c r="C5" s="16" t="n">
        <v>5800000000</v>
      </c>
      <c r="D5" s="16" t="n">
        <v>12000000000</v>
      </c>
      <c r="E5" s="16" t="n">
        <v>11000000000</v>
      </c>
      <c r="F5" s="16" t="n">
        <v>10000000000</v>
      </c>
      <c r="G5" s="16" t="n">
        <v>9500000000</v>
      </c>
      <c r="H5" s="16" t="n">
        <v>9000000000</v>
      </c>
      <c r="I5" s="16" t="n">
        <v>8500000000</v>
      </c>
      <c r="J5" s="16" t="n">
        <v>8000000000</v>
      </c>
      <c r="K5" s="16" t="n">
        <v>7500000000</v>
      </c>
      <c r="L5" s="16" t="n">
        <v>7000000000</v>
      </c>
      <c r="M5" s="16" t="n">
        <v>8000000000</v>
      </c>
      <c r="N5" s="16" t="n">
        <v>7000000000</v>
      </c>
      <c r="O5" s="16" t="n">
        <v>6000000000</v>
      </c>
      <c r="P5" s="16" t="n">
        <v>5000000000</v>
      </c>
    </row>
    <row r="6">
      <c r="A6" s="4" t="inlineStr">
        <is>
          <t>Total</t>
        </is>
      </c>
      <c r="B6" s="16" t="n">
        <v>76000000000</v>
      </c>
      <c r="C6" s="16" t="n">
        <v>73800000000</v>
      </c>
      <c r="D6" s="16" t="n">
        <v>78000000000</v>
      </c>
      <c r="E6" s="16" t="n">
        <v>75000000000</v>
      </c>
      <c r="F6" s="16" t="n">
        <v>73000000000</v>
      </c>
      <c r="G6" s="16" t="n">
        <v>71500000000</v>
      </c>
      <c r="H6" s="16" t="n">
        <v>69000000000</v>
      </c>
      <c r="I6" s="16" t="n">
        <v>66500000000</v>
      </c>
      <c r="J6" s="16" t="n">
        <v>64000000000</v>
      </c>
      <c r="K6" s="16" t="n">
        <v>62500000000</v>
      </c>
      <c r="L6" s="16" t="n">
        <v>61000000000</v>
      </c>
      <c r="M6" s="16" t="n">
        <v>63000000000</v>
      </c>
      <c r="N6" s="16" t="n">
        <v>63000000000</v>
      </c>
      <c r="O6" s="16" t="n">
        <v>63000000000</v>
      </c>
      <c r="P6" s="16" t="n">
        <v>63000000000</v>
      </c>
    </row>
    <row r="7">
      <c r="A7" s="4" t="inlineStr">
        <is>
          <t>Profit</t>
        </is>
      </c>
      <c r="B7" s="16" t="n">
        <v>-3100000000</v>
      </c>
      <c r="C7" s="16" t="n">
        <v>-2900000000</v>
      </c>
      <c r="D7" s="16" t="n">
        <v>-2600000000</v>
      </c>
      <c r="E7" s="16" t="n">
        <v>-3300000000</v>
      </c>
      <c r="F7" s="16" t="n">
        <v>-3000000000</v>
      </c>
      <c r="G7" s="16" t="n">
        <v>-3400000000</v>
      </c>
      <c r="H7" s="16" t="n">
        <v>-2800000000</v>
      </c>
      <c r="I7" s="16" t="n">
        <v>-2400000000</v>
      </c>
      <c r="J7" s="16" t="n">
        <v>-2600000000</v>
      </c>
      <c r="K7" s="16" t="n">
        <v>-1800000000</v>
      </c>
      <c r="L7" s="16" t="n">
        <v>-800000000</v>
      </c>
      <c r="M7" s="16" t="n">
        <v>1200000000</v>
      </c>
      <c r="N7" s="16" t="n">
        <v>300000000</v>
      </c>
      <c r="O7" s="16" t="n">
        <v>400000000</v>
      </c>
      <c r="P7" s="16" t="n">
        <v>900000000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2026-07-07T04:11:29Z</dcterms:created>
  <dcterms:modified xmlns:dcterms="http://purl.org/dc/terms/" xmlns:xsi="http://www.w3.org/2001/XMLSchema-instance" xsi:type="dcterms:W3CDTF">2026-07-10T07:52:44Z</dcterms:modified>
</cp:coreProperties>
</file>